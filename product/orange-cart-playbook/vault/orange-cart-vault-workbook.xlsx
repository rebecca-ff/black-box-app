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 Content Calendar" sheetId="2" state="visible" r:id="rId2"/>
    <sheet name="2 Affiliate Scorecard" sheetId="3" state="visible" r:id="rId3"/>
    <sheet name="3 Forecaster" sheetId="4" state="visible" r:id="rId4"/>
    <sheet name="4 Campaign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4A423A"/>
      <sz val="10"/>
    </font>
    <font>
      <name val="Arial"/>
      <b val="1"/>
      <color rgb="0016130F"/>
      <sz val="11"/>
    </font>
    <font>
      <name val="Arial"/>
      <color rgb="003A332C"/>
      <sz val="10"/>
    </font>
    <font>
      <name val="Arial"/>
      <b val="1"/>
      <color rgb="00FF5A1F"/>
      <sz val="11"/>
    </font>
    <font>
      <name val="Arial"/>
      <b val="1"/>
      <color rgb="00FFFFFF"/>
      <sz val="10"/>
    </font>
    <font>
      <name val="Arial"/>
      <color rgb="008A8078"/>
      <sz val="10"/>
    </font>
    <font>
      <name val="Arial"/>
      <color rgb="0016130F"/>
      <sz val="10"/>
    </font>
    <font>
      <name val="Arial"/>
      <i val="1"/>
      <color rgb="008A8078"/>
      <sz val="9"/>
    </font>
    <font>
      <name val="Arial"/>
      <b val="1"/>
      <color rgb="0016130F"/>
      <sz val="10"/>
    </font>
    <font>
      <name val="Arial"/>
      <b val="1"/>
      <color rgb="00B23A0E"/>
      <sz val="10"/>
    </font>
    <font>
      <name val="Arial"/>
      <i val="1"/>
      <color rgb="004A423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E7C6B"/>
      <sz val="11"/>
    </font>
  </fonts>
  <fills count="7">
    <fill>
      <patternFill/>
    </fill>
    <fill>
      <patternFill patternType="gray125"/>
    </fill>
    <fill>
      <patternFill patternType="solid">
        <fgColor rgb="00FF5A1F"/>
      </patternFill>
    </fill>
    <fill>
      <patternFill patternType="solid">
        <fgColor rgb="00FDEEE4"/>
      </patternFill>
    </fill>
    <fill>
      <patternFill patternType="solid">
        <fgColor rgb="0016130F"/>
      </patternFill>
    </fill>
    <fill>
      <patternFill patternType="solid">
        <fgColor rgb="00FFF7EF"/>
      </patternFill>
    </fill>
    <fill>
      <patternFill patternType="solid">
        <fgColor rgb="00F2ECE2"/>
      </patternFill>
    </fill>
  </fills>
  <borders count="3">
    <border>
      <left/>
      <right/>
      <top/>
      <bottom/>
      <diagonal/>
    </border>
    <border>
      <left style="thin">
        <color rgb="00E7DDCE"/>
      </left>
      <right style="thin">
        <color rgb="00E7DDCE"/>
      </right>
      <top style="thin">
        <color rgb="00E7DDCE"/>
      </top>
      <bottom style="thin">
        <color rgb="00E7DDCE"/>
      </bottom>
    </border>
    <border>
      <left style="medium">
        <color rgb="00FF5A1F"/>
      </left>
      <right style="medium">
        <color rgb="00FF5A1F"/>
      </right>
      <top style="medium">
        <color rgb="00FF5A1F"/>
      </top>
      <bottom style="medium">
        <color rgb="00FF5A1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8" fillId="5" borderId="2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0" fontId="11" fillId="3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12" fillId="3" borderId="0" pivotButton="0" quotePrefix="0" xfId="0"/>
    <xf numFmtId="0" fontId="13" fillId="4" borderId="0" applyAlignment="1" pivotButton="0" quotePrefix="0" xfId="0">
      <alignment vertical="center" indent="1"/>
    </xf>
    <xf numFmtId="0" fontId="8" fillId="0" borderId="1" applyAlignment="1" pivotButton="0" quotePrefix="0" xfId="0">
      <alignment horizontal="left" vertical="center" wrapText="1" indent="1"/>
    </xf>
    <xf numFmtId="164" fontId="8" fillId="5" borderId="2" applyAlignment="1" pivotButton="0" quotePrefix="0" xfId="0">
      <alignment horizontal="center" vertical="center" wrapText="1"/>
    </xf>
    <xf numFmtId="165" fontId="8" fillId="5" borderId="2" applyAlignment="1" pivotButton="0" quotePrefix="0" xfId="0">
      <alignment horizontal="center" vertical="center" wrapText="1"/>
    </xf>
    <xf numFmtId="9" fontId="8" fillId="5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 indent="1"/>
    </xf>
    <xf numFmtId="3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166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indent="1"/>
    </xf>
    <xf numFmtId="0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indent="1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THE VAULT  ·  Workbook</t>
        </is>
      </c>
    </row>
    <row r="2" ht="22" customHeight="1">
      <c r="A2" s="2" t="inlineStr">
        <is>
          <t>The Orange Cart Playbook — plug-and-play tools. Fill the orange cells only.</t>
        </is>
      </c>
    </row>
    <row r="5" ht="34" customHeight="1">
      <c r="B5" s="3" t="inlineStr">
        <is>
          <t>How to use this workbook</t>
        </is>
      </c>
      <c r="C5" s="4" t="inlineStr">
        <is>
          <t>4 tabs. Everything you edit is an ORANGE cell. Grey/dark cells calculate themselves — don't overwrite them.</t>
        </is>
      </c>
    </row>
    <row r="6" ht="34" customHeight="1">
      <c r="B6" s="5" t="inlineStr">
        <is>
          <t>1 · Content Calendar</t>
        </is>
      </c>
      <c r="C6" s="4" t="inlineStr">
        <is>
          <t>Plan a week of content on the 7-pillar rotation. Pillars are pre-filled; you add the hook, format, and post date.</t>
        </is>
      </c>
    </row>
    <row r="7" ht="34" customHeight="1">
      <c r="B7" s="5" t="inlineStr">
        <is>
          <t>2 · Affiliate Scorecard</t>
        </is>
      </c>
      <c r="C7" s="4" t="inlineStr">
        <is>
          <t>Score each creator 0–2 on five checks. The sheet totals it and tells you APPROVE / REVIEW / REJECT.</t>
        </is>
      </c>
    </row>
    <row r="8" ht="34" customHeight="1">
      <c r="B8" s="5" t="inlineStr">
        <is>
          <t>3 · Sample→Sale Forecaster</t>
        </is>
      </c>
      <c r="C8" s="4" t="inlineStr">
        <is>
          <t>Enter your GMV goal and your cost numbers. It tells you how many samples to ship and what they'll cost &amp; return.</t>
        </is>
      </c>
    </row>
    <row r="9" ht="34" customHeight="1">
      <c r="B9" s="5" t="inlineStr">
        <is>
          <t>4 · Campaign Tracker</t>
        </is>
      </c>
      <c r="C9" s="4" t="inlineStr">
        <is>
          <t>One row per creator campaign. Enter samples, posts, views, GMV — it computes your real GMV-per-sample so you can replace the ~$18 benchmark with YOUR number.</t>
        </is>
      </c>
    </row>
    <row r="11" ht="34" customHeight="1">
      <c r="B11" s="3" t="inlineStr">
        <is>
          <t>The one number to learn</t>
        </is>
      </c>
      <c r="C11" s="4" t="inlineStr">
        <is>
          <t>GMV per sample. Start with the ~$18 benchmark, then let the Tracker compute your own. Every forecast gets sharper once you use your real figure.</t>
        </is>
      </c>
    </row>
    <row r="12" ht="22" customHeight="1">
      <c r="B12" s="3" t="inlineStr">
        <is>
          <t>Legend</t>
        </is>
      </c>
      <c r="C12" s="4" t="inlineStr">
        <is>
          <t>ORANGE = you type here.   Dark = section header.   Grey = auto-calculated.</t>
        </is>
      </c>
    </row>
  </sheetData>
  <mergeCells count="9">
    <mergeCell ref="A2:F2"/>
    <mergeCell ref="C9:F9"/>
    <mergeCell ref="C8:F8"/>
    <mergeCell ref="A1:F1"/>
    <mergeCell ref="C12:F12"/>
    <mergeCell ref="C6:F6"/>
    <mergeCell ref="C7:F7"/>
    <mergeCell ref="C11:F11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0" customWidth="1" min="4" max="4"/>
    <col width="22" customWidth="1" min="5" max="5"/>
    <col width="14" customWidth="1" min="6" max="6"/>
    <col width="14" customWidth="1" min="7" max="7"/>
  </cols>
  <sheetData>
    <row r="1" ht="34" customHeight="1">
      <c r="A1" s="1" t="inlineStr">
        <is>
          <t>WEEKLY CONTENT CALENDAR</t>
        </is>
      </c>
    </row>
    <row r="2" ht="22" customHeight="1">
      <c r="A2" s="2" t="inlineStr">
        <is>
          <t>The 7-pillar rotation. Pillar is set — you fill hook, format, sound &amp; post date. Never post the same angle twice in a row.</t>
        </is>
      </c>
    </row>
    <row r="4" ht="30" customHeight="1">
      <c r="A4" s="6" t="inlineStr">
        <is>
          <t>Day</t>
        </is>
      </c>
      <c r="B4" s="6" t="inlineStr">
        <is>
          <t>Pillar (set)</t>
        </is>
      </c>
      <c r="C4" s="6" t="inlineStr">
        <is>
          <t>Hook idea</t>
        </is>
      </c>
      <c r="D4" s="6" t="inlineStr">
        <is>
          <t>Format</t>
        </is>
      </c>
      <c r="E4" s="6" t="inlineStr">
        <is>
          <t>Sound / trend</t>
        </is>
      </c>
      <c r="F4" s="6" t="inlineStr">
        <is>
          <t>Post date</t>
        </is>
      </c>
      <c r="G4" s="6" t="inlineStr">
        <is>
          <t>Status</t>
        </is>
      </c>
    </row>
    <row r="5">
      <c r="A5" s="7" t="inlineStr">
        <is>
          <t>(example)</t>
        </is>
      </c>
      <c r="B5" s="8" t="inlineStr">
        <is>
          <t>Pain Point</t>
        </is>
      </c>
      <c r="C5" s="9" t="inlineStr">
        <is>
          <t>"I felt the lump on my 10-yr-old…"</t>
        </is>
      </c>
      <c r="D5" s="9" t="inlineStr">
        <is>
          <t>Reveal story</t>
        </is>
      </c>
      <c r="E5" s="9" t="inlineStr">
        <is>
          <t>Emotional piano bed</t>
        </is>
      </c>
      <c r="F5" s="9" t="inlineStr">
        <is>
          <t>(ex) filled in</t>
        </is>
      </c>
      <c r="G5" s="9" t="inlineStr">
        <is>
          <t>Drafted</t>
        </is>
      </c>
    </row>
    <row r="6" ht="30" customHeight="1">
      <c r="A6" s="10" t="inlineStr">
        <is>
          <t>Monday</t>
        </is>
      </c>
      <c r="B6" s="11" t="inlineStr">
        <is>
          <t>Pain Point</t>
        </is>
      </c>
      <c r="C6" s="9" t="inlineStr"/>
      <c r="D6" s="9" t="inlineStr"/>
      <c r="E6" s="9" t="inlineStr"/>
      <c r="F6" s="9" t="inlineStr"/>
      <c r="G6" s="9" t="inlineStr"/>
    </row>
    <row r="7" ht="30" customHeight="1">
      <c r="A7" s="10" t="inlineStr">
        <is>
          <t>Tuesday</t>
        </is>
      </c>
      <c r="B7" s="11" t="inlineStr">
        <is>
          <t>Demo / Tutorial</t>
        </is>
      </c>
      <c r="C7" s="9" t="inlineStr"/>
      <c r="D7" s="9" t="inlineStr"/>
      <c r="E7" s="9" t="inlineStr"/>
      <c r="F7" s="9" t="inlineStr"/>
      <c r="G7" s="9" t="inlineStr"/>
    </row>
    <row r="8" ht="30" customHeight="1">
      <c r="A8" s="10" t="inlineStr">
        <is>
          <t>Wednesday</t>
        </is>
      </c>
      <c r="B8" s="11" t="inlineStr">
        <is>
          <t>Social Proof</t>
        </is>
      </c>
      <c r="C8" s="9" t="inlineStr"/>
      <c r="D8" s="9" t="inlineStr"/>
      <c r="E8" s="9" t="inlineStr"/>
      <c r="F8" s="9" t="inlineStr"/>
      <c r="G8" s="9" t="inlineStr"/>
    </row>
    <row r="9" ht="30" customHeight="1">
      <c r="A9" s="10" t="inlineStr">
        <is>
          <t>Thursday</t>
        </is>
      </c>
      <c r="B9" s="11" t="inlineStr">
        <is>
          <t>Trend-Jack</t>
        </is>
      </c>
      <c r="C9" s="9" t="inlineStr"/>
      <c r="D9" s="9" t="inlineStr"/>
      <c r="E9" s="9" t="inlineStr"/>
      <c r="F9" s="9" t="inlineStr"/>
      <c r="G9" s="9" t="inlineStr"/>
    </row>
    <row r="10" ht="30" customHeight="1">
      <c r="A10" s="10" t="inlineStr">
        <is>
          <t>Friday</t>
        </is>
      </c>
      <c r="B10" s="11" t="inlineStr">
        <is>
          <t>Lifestyle</t>
        </is>
      </c>
      <c r="C10" s="9" t="inlineStr"/>
      <c r="D10" s="9" t="inlineStr"/>
      <c r="E10" s="9" t="inlineStr"/>
      <c r="F10" s="9" t="inlineStr"/>
      <c r="G10" s="9" t="inlineStr"/>
    </row>
    <row r="11" ht="30" customHeight="1">
      <c r="A11" s="10" t="inlineStr">
        <is>
          <t>Saturday</t>
        </is>
      </c>
      <c r="B11" s="11" t="inlineStr">
        <is>
          <t>Comparison</t>
        </is>
      </c>
      <c r="C11" s="9" t="inlineStr"/>
      <c r="D11" s="9" t="inlineStr"/>
      <c r="E11" s="9" t="inlineStr"/>
      <c r="F11" s="9" t="inlineStr"/>
      <c r="G11" s="9" t="inlineStr"/>
    </row>
    <row r="12" ht="30" customHeight="1">
      <c r="A12" s="10" t="inlineStr">
        <is>
          <t>Sunday</t>
        </is>
      </c>
      <c r="B12" s="11" t="inlineStr">
        <is>
          <t>Behind the Scenes</t>
        </is>
      </c>
      <c r="C12" s="9" t="inlineStr"/>
      <c r="D12" s="9" t="inlineStr"/>
      <c r="E12" s="9" t="inlineStr"/>
      <c r="F12" s="9" t="inlineStr"/>
      <c r="G12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2" customWidth="1" min="4" max="4"/>
    <col width="13" customWidth="1" min="5" max="5"/>
    <col width="15" customWidth="1" min="6" max="6"/>
    <col width="9" customWidth="1" min="7" max="7"/>
    <col width="14" customWidth="1" min="8" max="8"/>
    <col width="26" customWidth="1" min="9" max="9"/>
  </cols>
  <sheetData>
    <row r="1" ht="34" customHeight="1">
      <c r="A1" s="1" t="inlineStr">
        <is>
          <t>AFFILIATE CREATOR SCORECARD</t>
        </is>
      </c>
    </row>
    <row r="2" ht="22" customHeight="1">
      <c r="A2" s="2" t="inlineStr">
        <is>
          <t>Score 0–2 on each check (0 = no, 1 = partial, 2 = strong). 8+ auto-approves; 5–7 review; under 5 reject.</t>
        </is>
      </c>
    </row>
    <row r="4" ht="30" customHeight="1">
      <c r="A4" s="6" t="inlineStr">
        <is>
          <t>Creator @handle</t>
        </is>
      </c>
      <c r="B4" s="6" t="inlineStr">
        <is>
          <t>Category fit</t>
        </is>
      </c>
      <c r="C4" s="6" t="inlineStr">
        <is>
          <t>Real human</t>
        </is>
      </c>
      <c r="D4" s="6" t="inlineStr">
        <is>
          <t>Content style</t>
        </is>
      </c>
      <c r="E4" s="6" t="inlineStr">
        <is>
          <t>Audience match</t>
        </is>
      </c>
      <c r="F4" s="6" t="inlineStr">
        <is>
          <t>Track record / GMV</t>
        </is>
      </c>
      <c r="G4" s="6" t="inlineStr">
        <is>
          <t>TOTAL</t>
        </is>
      </c>
      <c r="H4" s="6" t="inlineStr">
        <is>
          <t>Decision</t>
        </is>
      </c>
      <c r="I4" s="6" t="inlineStr">
        <is>
          <t>Notes</t>
        </is>
      </c>
    </row>
    <row r="5">
      <c r="A5" s="7" t="inlineStr">
        <is>
          <t>@example_creator</t>
        </is>
      </c>
      <c r="B5" s="12" t="n">
        <v>2</v>
      </c>
      <c r="C5" s="12" t="n">
        <v>2</v>
      </c>
      <c r="D5" s="12" t="n">
        <v>1</v>
      </c>
      <c r="E5" s="12" t="n">
        <v>2</v>
      </c>
      <c r="F5" s="12" t="n">
        <v>1</v>
      </c>
      <c r="G5" s="13">
        <f>SUM(B5:F5)</f>
        <v/>
      </c>
      <c r="H5" s="13">
        <f>IF(G5="","",IF(G5&gt;=8,"APPROVE",IF(G5&gt;=5,"REVIEW","REJECT")))</f>
        <v/>
      </c>
      <c r="I5" s="8" t="inlineStr">
        <is>
          <t>(example) strong fit, proven seller</t>
        </is>
      </c>
    </row>
    <row r="6" ht="26" customHeight="1">
      <c r="A6" s="9" t="inlineStr"/>
      <c r="B6" s="14" t="inlineStr"/>
      <c r="C6" s="14" t="inlineStr"/>
      <c r="D6" s="14" t="inlineStr"/>
      <c r="E6" s="14" t="inlineStr"/>
      <c r="F6" s="14" t="inlineStr"/>
      <c r="G6" s="13">
        <f>IF(COUNT(B6:F6)=0,"",SUM(B6:F6))</f>
        <v/>
      </c>
      <c r="H6" s="13">
        <f>IF(G6="","",IF(G6&gt;=8,"APPROVE",IF(G6&gt;=5,"REVIEW","REJECT")))</f>
        <v/>
      </c>
      <c r="I6" s="9" t="inlineStr"/>
    </row>
    <row r="7" ht="26" customHeight="1">
      <c r="A7" s="9" t="inlineStr"/>
      <c r="B7" s="14" t="inlineStr"/>
      <c r="C7" s="14" t="inlineStr"/>
      <c r="D7" s="14" t="inlineStr"/>
      <c r="E7" s="14" t="inlineStr"/>
      <c r="F7" s="14" t="inlineStr"/>
      <c r="G7" s="13">
        <f>IF(COUNT(B7:F7)=0,"",SUM(B7:F7))</f>
        <v/>
      </c>
      <c r="H7" s="13">
        <f>IF(G7="","",IF(G7&gt;=8,"APPROVE",IF(G7&gt;=5,"REVIEW","REJECT")))</f>
        <v/>
      </c>
      <c r="I7" s="9" t="inlineStr"/>
    </row>
    <row r="8" ht="26" customHeight="1">
      <c r="A8" s="9" t="inlineStr"/>
      <c r="B8" s="14" t="inlineStr"/>
      <c r="C8" s="14" t="inlineStr"/>
      <c r="D8" s="14" t="inlineStr"/>
      <c r="E8" s="14" t="inlineStr"/>
      <c r="F8" s="14" t="inlineStr"/>
      <c r="G8" s="13">
        <f>IF(COUNT(B8:F8)=0,"",SUM(B8:F8))</f>
        <v/>
      </c>
      <c r="H8" s="13">
        <f>IF(G8="","",IF(G8&gt;=8,"APPROVE",IF(G8&gt;=5,"REVIEW","REJECT")))</f>
        <v/>
      </c>
      <c r="I8" s="9" t="inlineStr"/>
    </row>
    <row r="9" ht="26" customHeight="1">
      <c r="A9" s="9" t="inlineStr"/>
      <c r="B9" s="14" t="inlineStr"/>
      <c r="C9" s="14" t="inlineStr"/>
      <c r="D9" s="14" t="inlineStr"/>
      <c r="E9" s="14" t="inlineStr"/>
      <c r="F9" s="14" t="inlineStr"/>
      <c r="G9" s="13">
        <f>IF(COUNT(B9:F9)=0,"",SUM(B9:F9))</f>
        <v/>
      </c>
      <c r="H9" s="13">
        <f>IF(G9="","",IF(G9&gt;=8,"APPROVE",IF(G9&gt;=5,"REVIEW","REJECT")))</f>
        <v/>
      </c>
      <c r="I9" s="9" t="inlineStr"/>
    </row>
    <row r="10" ht="26" customHeight="1">
      <c r="A10" s="9" t="inlineStr"/>
      <c r="B10" s="14" t="inlineStr"/>
      <c r="C10" s="14" t="inlineStr"/>
      <c r="D10" s="14" t="inlineStr"/>
      <c r="E10" s="14" t="inlineStr"/>
      <c r="F10" s="14" t="inlineStr"/>
      <c r="G10" s="13">
        <f>IF(COUNT(B10:F10)=0,"",SUM(B10:F10))</f>
        <v/>
      </c>
      <c r="H10" s="13">
        <f>IF(G10="","",IF(G10&gt;=8,"APPROVE",IF(G10&gt;=5,"REVIEW","REJECT")))</f>
        <v/>
      </c>
      <c r="I10" s="9" t="inlineStr"/>
    </row>
    <row r="11" ht="26" customHeight="1">
      <c r="A11" s="9" t="inlineStr"/>
      <c r="B11" s="14" t="inlineStr"/>
      <c r="C11" s="14" t="inlineStr"/>
      <c r="D11" s="14" t="inlineStr"/>
      <c r="E11" s="14" t="inlineStr"/>
      <c r="F11" s="14" t="inlineStr"/>
      <c r="G11" s="13">
        <f>IF(COUNT(B11:F11)=0,"",SUM(B11:F11))</f>
        <v/>
      </c>
      <c r="H11" s="13">
        <f>IF(G11="","",IF(G11&gt;=8,"APPROVE",IF(G11&gt;=5,"REVIEW","REJECT")))</f>
        <v/>
      </c>
      <c r="I11" s="9" t="inlineStr"/>
    </row>
    <row r="12" ht="26" customHeight="1">
      <c r="A12" s="9" t="inlineStr"/>
      <c r="B12" s="14" t="inlineStr"/>
      <c r="C12" s="14" t="inlineStr"/>
      <c r="D12" s="14" t="inlineStr"/>
      <c r="E12" s="14" t="inlineStr"/>
      <c r="F12" s="14" t="inlineStr"/>
      <c r="G12" s="13">
        <f>IF(COUNT(B12:F12)=0,"",SUM(B12:F12))</f>
        <v/>
      </c>
      <c r="H12" s="13">
        <f>IF(G12="","",IF(G12&gt;=8,"APPROVE",IF(G12&gt;=5,"REVIEW","REJECT")))</f>
        <v/>
      </c>
      <c r="I12" s="9" t="inlineStr"/>
    </row>
    <row r="13" ht="26" customHeight="1">
      <c r="A13" s="9" t="inlineStr"/>
      <c r="B13" s="14" t="inlineStr"/>
      <c r="C13" s="14" t="inlineStr"/>
      <c r="D13" s="14" t="inlineStr"/>
      <c r="E13" s="14" t="inlineStr"/>
      <c r="F13" s="14" t="inlineStr"/>
      <c r="G13" s="13">
        <f>IF(COUNT(B13:F13)=0,"",SUM(B13:F13))</f>
        <v/>
      </c>
      <c r="H13" s="13">
        <f>IF(G13="","",IF(G13&gt;=8,"APPROVE",IF(G13&gt;=5,"REVIEW","REJECT")))</f>
        <v/>
      </c>
      <c r="I13" s="9" t="inlineStr"/>
    </row>
    <row r="14" ht="26" customHeight="1">
      <c r="A14" s="9" t="inlineStr"/>
      <c r="B14" s="14" t="inlineStr"/>
      <c r="C14" s="14" t="inlineStr"/>
      <c r="D14" s="14" t="inlineStr"/>
      <c r="E14" s="14" t="inlineStr"/>
      <c r="F14" s="14" t="inlineStr"/>
      <c r="G14" s="13">
        <f>IF(COUNT(B14:F14)=0,"",SUM(B14:F14))</f>
        <v/>
      </c>
      <c r="H14" s="13">
        <f>IF(G14="","",IF(G14&gt;=8,"APPROVE",IF(G14&gt;=5,"REVIEW","REJECT")))</f>
        <v/>
      </c>
      <c r="I14" s="9" t="inlineStr"/>
    </row>
    <row r="15" ht="26" customHeight="1">
      <c r="A15" s="9" t="inlineStr"/>
      <c r="B15" s="14" t="inlineStr"/>
      <c r="C15" s="14" t="inlineStr"/>
      <c r="D15" s="14" t="inlineStr"/>
      <c r="E15" s="14" t="inlineStr"/>
      <c r="F15" s="14" t="inlineStr"/>
      <c r="G15" s="13">
        <f>IF(COUNT(B15:F15)=0,"",SUM(B15:F15))</f>
        <v/>
      </c>
      <c r="H15" s="13">
        <f>IF(G15="","",IF(G15&gt;=8,"APPROVE",IF(G15&gt;=5,"REVIEW","REJECT")))</f>
        <v/>
      </c>
      <c r="I15" s="9" t="inlineStr"/>
    </row>
    <row r="16" ht="26" customHeight="1">
      <c r="A16" s="9" t="inlineStr"/>
      <c r="B16" s="14" t="inlineStr"/>
      <c r="C16" s="14" t="inlineStr"/>
      <c r="D16" s="14" t="inlineStr"/>
      <c r="E16" s="14" t="inlineStr"/>
      <c r="F16" s="14" t="inlineStr"/>
      <c r="G16" s="13">
        <f>IF(COUNT(B16:F16)=0,"",SUM(B16:F16))</f>
        <v/>
      </c>
      <c r="H16" s="13">
        <f>IF(G16="","",IF(G16&gt;=8,"APPROVE",IF(G16&gt;=5,"REVIEW","REJECT")))</f>
        <v/>
      </c>
      <c r="I16" s="9" t="inlineStr"/>
    </row>
    <row r="17" ht="26" customHeight="1">
      <c r="A17" s="9" t="inlineStr"/>
      <c r="B17" s="14" t="inlineStr"/>
      <c r="C17" s="14" t="inlineStr"/>
      <c r="D17" s="14" t="inlineStr"/>
      <c r="E17" s="14" t="inlineStr"/>
      <c r="F17" s="14" t="inlineStr"/>
      <c r="G17" s="13">
        <f>IF(COUNT(B17:F17)=0,"",SUM(B17:F17))</f>
        <v/>
      </c>
      <c r="H17" s="13">
        <f>IF(G17="","",IF(G17&gt;=8,"APPROVE",IF(G17&gt;=5,"REVIEW","REJECT")))</f>
        <v/>
      </c>
      <c r="I17" s="9" t="inlineStr"/>
    </row>
    <row r="18" ht="26" customHeight="1">
      <c r="A18" s="9" t="inlineStr"/>
      <c r="B18" s="14" t="inlineStr"/>
      <c r="C18" s="14" t="inlineStr"/>
      <c r="D18" s="14" t="inlineStr"/>
      <c r="E18" s="14" t="inlineStr"/>
      <c r="F18" s="14" t="inlineStr"/>
      <c r="G18" s="13">
        <f>IF(COUNT(B18:F18)=0,"",SUM(B18:F18))</f>
        <v/>
      </c>
      <c r="H18" s="13">
        <f>IF(G18="","",IF(G18&gt;=8,"APPROVE",IF(G18&gt;=5,"REVIEW","REJECT")))</f>
        <v/>
      </c>
      <c r="I18" s="9" t="inlineStr"/>
    </row>
    <row r="19" ht="26" customHeight="1">
      <c r="A19" s="9" t="inlineStr"/>
      <c r="B19" s="14" t="inlineStr"/>
      <c r="C19" s="14" t="inlineStr"/>
      <c r="D19" s="14" t="inlineStr"/>
      <c r="E19" s="14" t="inlineStr"/>
      <c r="F19" s="14" t="inlineStr"/>
      <c r="G19" s="13">
        <f>IF(COUNT(B19:F19)=0,"",SUM(B19:F19))</f>
        <v/>
      </c>
      <c r="H19" s="13">
        <f>IF(G19="","",IF(G19&gt;=8,"APPROVE",IF(G19&gt;=5,"REVIEW","REJECT")))</f>
        <v/>
      </c>
      <c r="I19" s="9" t="inlineStr"/>
    </row>
    <row r="21">
      <c r="A21" s="15" t="inlineStr">
        <is>
          <t>Scoring key — each check: 0 = clear no · 1 = partial / borderline · 2 = strong yes.  |  Tighten the approve threshold (raise 8) if your GMV-per-sample drops.</t>
        </is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SAMPLE → SALE FORECASTER</t>
        </is>
      </c>
    </row>
    <row r="2" ht="22" customHeight="1">
      <c r="A2" s="2" t="inlineStr">
        <is>
          <t>Enter your goal &amp; cost numbers (orange). The sheet plans your sample budget from the ~$18-per-sample benchmark.</t>
        </is>
      </c>
    </row>
    <row r="4" ht="26" customHeight="1">
      <c r="B4" s="16" t="inlineStr">
        <is>
          <t>YOUR INPUTS  (edit the orange cells)</t>
        </is>
      </c>
    </row>
    <row r="5">
      <c r="B5" s="17" t="inlineStr">
        <is>
          <t>GMV goal for the period</t>
        </is>
      </c>
      <c r="C5" s="18" t="n">
        <v>15000</v>
      </c>
    </row>
    <row r="6">
      <c r="B6" s="17" t="inlineStr">
        <is>
          <t>GMV per sample shipped (benchmark ~$16–18)</t>
        </is>
      </c>
      <c r="C6" s="18" t="n">
        <v>16</v>
      </c>
    </row>
    <row r="7">
      <c r="B7" s="17" t="inlineStr">
        <is>
          <t>All-in cost per sample (product + ship + commission)</t>
        </is>
      </c>
      <c r="C7" s="19" t="n">
        <v>6</v>
      </c>
    </row>
    <row r="8">
      <c r="B8" s="17" t="inlineStr">
        <is>
          <t>Sample approval rate you expect</t>
        </is>
      </c>
      <c r="C8" s="20" t="n">
        <v>0.15</v>
      </c>
    </row>
    <row r="10" ht="26" customHeight="1">
      <c r="B10" s="16" t="inlineStr">
        <is>
          <t>THE PLAN  (calculates automatically)</t>
        </is>
      </c>
    </row>
    <row r="11">
      <c r="B11" s="21" t="inlineStr">
        <is>
          <t>Samples you need to SHIP</t>
        </is>
      </c>
      <c r="C11" s="22">
        <f>ROUND(C5/C6,0)</f>
        <v/>
      </c>
    </row>
    <row r="12">
      <c r="B12" s="21" t="inlineStr">
        <is>
          <t>Sample requests to APPROVE from (÷ approval rate)</t>
        </is>
      </c>
      <c r="C12" s="22">
        <f>ROUND(C5/C6/C8,0)</f>
        <v/>
      </c>
    </row>
    <row r="13">
      <c r="B13" s="21" t="inlineStr">
        <is>
          <t>Total sample cost to fund</t>
        </is>
      </c>
      <c r="C13" s="23">
        <f>(C5/C6)*C7</f>
        <v/>
      </c>
    </row>
    <row r="14">
      <c r="B14" s="21" t="inlineStr">
        <is>
          <t>Forecast GMV from this cohort</t>
        </is>
      </c>
      <c r="C14" s="23">
        <f>C5</f>
        <v/>
      </c>
    </row>
    <row r="15">
      <c r="B15" s="21" t="inlineStr">
        <is>
          <t>Cost as % of GMV</t>
        </is>
      </c>
      <c r="C15" s="24">
        <f>((C5/C6)*C7)/C5</f>
        <v/>
      </c>
    </row>
    <row r="16">
      <c r="B16" s="21" t="inlineStr">
        <is>
          <t>Contribution before repeat purchases</t>
        </is>
      </c>
      <c r="C16" s="23">
        <f>C5-((C5/C6)*C7)</f>
        <v/>
      </c>
    </row>
    <row r="18" ht="26" customHeight="1">
      <c r="B18" s="16" t="inlineStr">
        <is>
          <t>WHAT IF YOU SHIP N SAMPLES?  (uses your GMV-per-sample above)</t>
        </is>
      </c>
    </row>
    <row r="19" ht="30" customHeight="1">
      <c r="A19" s="6" t="n"/>
      <c r="B19" s="25" t="inlineStr">
        <is>
          <t>Samples shipped</t>
        </is>
      </c>
      <c r="C19" s="25" t="inlineStr">
        <is>
          <t>Forecast GMV</t>
        </is>
      </c>
      <c r="D19" s="25" t="inlineStr">
        <is>
          <t>Sample cost</t>
        </is>
      </c>
      <c r="E19" s="25" t="inlineStr">
        <is>
          <t>Contribution</t>
        </is>
      </c>
    </row>
    <row r="20">
      <c r="B20" s="26" t="n">
        <v>100</v>
      </c>
      <c r="C20" s="27">
        <f>B20*C6</f>
        <v/>
      </c>
      <c r="D20" s="27">
        <f>B20*C7</f>
        <v/>
      </c>
      <c r="E20" s="23">
        <f>C20-D20</f>
        <v/>
      </c>
    </row>
    <row r="21">
      <c r="B21" s="26" t="n">
        <v>250</v>
      </c>
      <c r="C21" s="27">
        <f>B21*C6</f>
        <v/>
      </c>
      <c r="D21" s="27">
        <f>B21*C7</f>
        <v/>
      </c>
      <c r="E21" s="23">
        <f>C21-D21</f>
        <v/>
      </c>
    </row>
    <row r="22">
      <c r="B22" s="26" t="n">
        <v>500</v>
      </c>
      <c r="C22" s="27">
        <f>B22*C6</f>
        <v/>
      </c>
      <c r="D22" s="27">
        <f>B22*C7</f>
        <v/>
      </c>
      <c r="E22" s="23">
        <f>C22-D22</f>
        <v/>
      </c>
    </row>
    <row r="23">
      <c r="B23" s="26" t="n">
        <v>1000</v>
      </c>
      <c r="C23" s="27">
        <f>B23*C6</f>
        <v/>
      </c>
      <c r="D23" s="27">
        <f>B23*C7</f>
        <v/>
      </c>
      <c r="E23" s="23">
        <f>C23-D23</f>
        <v/>
      </c>
    </row>
    <row r="24">
      <c r="B24" s="26" t="n">
        <v>2000</v>
      </c>
      <c r="C24" s="27">
        <f>B24*C6</f>
        <v/>
      </c>
      <c r="D24" s="27">
        <f>B24*C7</f>
        <v/>
      </c>
      <c r="E24" s="23">
        <f>C24-D24</f>
        <v/>
      </c>
    </row>
    <row r="26" ht="40" customHeight="1">
      <c r="B26" s="28" t="inlineStr">
        <is>
          <t>Note: $18/sample came out nearly identical across two unrelated categories in a real 6-month portfolio. Replace it with your own number from the Tracker as soon as you have 30+ days of data.</t>
        </is>
      </c>
    </row>
  </sheetData>
  <mergeCells count="6">
    <mergeCell ref="B4:F4"/>
    <mergeCell ref="A2:F2"/>
    <mergeCell ref="B10:F10"/>
    <mergeCell ref="A1:F1"/>
    <mergeCell ref="B26:F26"/>
    <mergeCell ref="B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1" customWidth="1" min="4" max="4"/>
    <col width="12" customWidth="1" min="5" max="5"/>
    <col width="11" customWidth="1" min="6" max="6"/>
    <col width="12" customWidth="1" min="7" max="7"/>
    <col width="14" customWidth="1" min="8" max="8"/>
    <col width="14" customWidth="1" min="9" max="9"/>
  </cols>
  <sheetData>
    <row r="1" ht="34" customHeight="1">
      <c r="A1" s="1" t="inlineStr">
        <is>
          <t>CAMPAIGN TRACKER</t>
        </is>
      </c>
    </row>
    <row r="2" ht="22" customHeight="1">
      <c r="A2" s="2" t="inlineStr">
        <is>
          <t>One row per creator. Enter the orange cells; totals &amp; your real GMV-per-sample calculate at the top.</t>
        </is>
      </c>
    </row>
    <row r="4" ht="22" customHeight="1">
      <c r="A4" s="29" t="inlineStr">
        <is>
          <t>PORTFOLIO TOTALS →</t>
        </is>
      </c>
      <c r="C4" s="30" t="inlineStr">
        <is>
          <t>Samples</t>
        </is>
      </c>
      <c r="D4" s="30" t="inlineStr">
        <is>
          <t>Posts</t>
        </is>
      </c>
      <c r="E4" s="30" t="inlineStr">
        <is>
          <t>Views</t>
        </is>
      </c>
      <c r="F4" s="30" t="inlineStr">
        <is>
          <t>Units</t>
        </is>
      </c>
      <c r="G4" s="30" t="inlineStr">
        <is>
          <t>GMV</t>
        </is>
      </c>
      <c r="H4" s="30" t="inlineStr">
        <is>
          <t>Commission</t>
        </is>
      </c>
      <c r="I4" s="30" t="inlineStr">
        <is>
          <t>GMV / sample</t>
        </is>
      </c>
    </row>
    <row r="5" ht="24" customHeight="1">
      <c r="A5" s="31" t="inlineStr">
        <is>
          <t>(auto)</t>
        </is>
      </c>
      <c r="C5" s="32">
        <f>SUM(E8:E40)</f>
        <v/>
      </c>
      <c r="D5" s="32">
        <f>SUM(F8:F40)</f>
        <v/>
      </c>
      <c r="E5" s="32">
        <f>SUM(G8:G40)</f>
        <v/>
      </c>
      <c r="F5" s="32">
        <f>SUM(H8:H40)</f>
        <v/>
      </c>
      <c r="G5" s="33">
        <f>SUM(I8:I40)</f>
        <v/>
      </c>
      <c r="H5" s="33">
        <f>SUM(J8:J40)</f>
        <v/>
      </c>
      <c r="I5" s="34">
        <f>IF(C5=0,"—",I5/C5)</f>
        <v/>
      </c>
    </row>
    <row r="7" ht="30" customHeight="1">
      <c r="A7" s="6" t="inlineStr">
        <is>
          <t>Creator @handle</t>
        </is>
      </c>
      <c r="B7" s="6" t="inlineStr">
        <is>
          <t>Product</t>
        </is>
      </c>
      <c r="C7" s="6" t="inlineStr">
        <is>
          <t>Samples shipped</t>
        </is>
      </c>
      <c r="D7" s="6" t="inlineStr">
        <is>
          <t>Posted (Y/N)</t>
        </is>
      </c>
      <c r="E7" s="6" t="inlineStr">
        <is>
          <t>Views</t>
        </is>
      </c>
      <c r="F7" s="6" t="inlineStr">
        <is>
          <t>Units sold</t>
        </is>
      </c>
      <c r="G7" s="6" t="inlineStr">
        <is>
          <t>GMV</t>
        </is>
      </c>
      <c r="H7" s="6" t="inlineStr">
        <is>
          <t>Commission paid</t>
        </is>
      </c>
      <c r="I7" s="6" t="inlineStr">
        <is>
          <t>Net (GMV−comm)</t>
        </is>
      </c>
    </row>
    <row r="8">
      <c r="A8" s="35" t="inlineStr">
        <is>
          <t>(example)</t>
        </is>
      </c>
      <c r="B8" s="36" t="inlineStr">
        <is>
          <t>Your SKU</t>
        </is>
      </c>
      <c r="C8" s="37" t="n">
        <v>1</v>
      </c>
      <c r="D8" s="37" t="inlineStr">
        <is>
          <t>Y</t>
        </is>
      </c>
      <c r="E8" s="37" t="n">
        <v>4200</v>
      </c>
      <c r="F8" s="37" t="n">
        <v>3</v>
      </c>
      <c r="G8" s="38" t="n">
        <v>54</v>
      </c>
      <c r="H8" s="38" t="n">
        <v>8</v>
      </c>
      <c r="I8" s="27">
        <f>G8-H8</f>
        <v/>
      </c>
    </row>
    <row r="9" ht="24" customHeight="1">
      <c r="A9" s="9" t="inlineStr"/>
      <c r="B9" s="9" t="inlineStr"/>
      <c r="C9" s="14" t="inlineStr"/>
      <c r="D9" s="14" t="inlineStr"/>
      <c r="E9" s="14" t="inlineStr"/>
      <c r="F9" s="14" t="inlineStr"/>
      <c r="G9" s="18" t="inlineStr"/>
      <c r="H9" s="18" t="inlineStr"/>
      <c r="I9" s="23">
        <f>IF(G9="","",G9-H9)</f>
        <v/>
      </c>
    </row>
    <row r="10" ht="24" customHeight="1">
      <c r="A10" s="9" t="inlineStr"/>
      <c r="B10" s="9" t="inlineStr"/>
      <c r="C10" s="14" t="inlineStr"/>
      <c r="D10" s="14" t="inlineStr"/>
      <c r="E10" s="14" t="inlineStr"/>
      <c r="F10" s="14" t="inlineStr"/>
      <c r="G10" s="18" t="inlineStr"/>
      <c r="H10" s="18" t="inlineStr"/>
      <c r="I10" s="23">
        <f>IF(G10="","",G10-H10)</f>
        <v/>
      </c>
    </row>
    <row r="11" ht="24" customHeight="1">
      <c r="A11" s="9" t="inlineStr"/>
      <c r="B11" s="9" t="inlineStr"/>
      <c r="C11" s="14" t="inlineStr"/>
      <c r="D11" s="14" t="inlineStr"/>
      <c r="E11" s="14" t="inlineStr"/>
      <c r="F11" s="14" t="inlineStr"/>
      <c r="G11" s="18" t="inlineStr"/>
      <c r="H11" s="18" t="inlineStr"/>
      <c r="I11" s="23">
        <f>IF(G11="","",G11-H11)</f>
        <v/>
      </c>
    </row>
    <row r="12" ht="24" customHeight="1">
      <c r="A12" s="9" t="inlineStr"/>
      <c r="B12" s="9" t="inlineStr"/>
      <c r="C12" s="14" t="inlineStr"/>
      <c r="D12" s="14" t="inlineStr"/>
      <c r="E12" s="14" t="inlineStr"/>
      <c r="F12" s="14" t="inlineStr"/>
      <c r="G12" s="18" t="inlineStr"/>
      <c r="H12" s="18" t="inlineStr"/>
      <c r="I12" s="23">
        <f>IF(G12="","",G12-H12)</f>
        <v/>
      </c>
    </row>
    <row r="13" ht="24" customHeight="1">
      <c r="A13" s="9" t="inlineStr"/>
      <c r="B13" s="9" t="inlineStr"/>
      <c r="C13" s="14" t="inlineStr"/>
      <c r="D13" s="14" t="inlineStr"/>
      <c r="E13" s="14" t="inlineStr"/>
      <c r="F13" s="14" t="inlineStr"/>
      <c r="G13" s="18" t="inlineStr"/>
      <c r="H13" s="18" t="inlineStr"/>
      <c r="I13" s="23">
        <f>IF(G13="","",G13-H13)</f>
        <v/>
      </c>
    </row>
    <row r="14" ht="24" customHeight="1">
      <c r="A14" s="9" t="inlineStr"/>
      <c r="B14" s="9" t="inlineStr"/>
      <c r="C14" s="14" t="inlineStr"/>
      <c r="D14" s="14" t="inlineStr"/>
      <c r="E14" s="14" t="inlineStr"/>
      <c r="F14" s="14" t="inlineStr"/>
      <c r="G14" s="18" t="inlineStr"/>
      <c r="H14" s="18" t="inlineStr"/>
      <c r="I14" s="23">
        <f>IF(G14="","",G14-H14)</f>
        <v/>
      </c>
    </row>
    <row r="15" ht="24" customHeight="1">
      <c r="A15" s="9" t="inlineStr"/>
      <c r="B15" s="9" t="inlineStr"/>
      <c r="C15" s="14" t="inlineStr"/>
      <c r="D15" s="14" t="inlineStr"/>
      <c r="E15" s="14" t="inlineStr"/>
      <c r="F15" s="14" t="inlineStr"/>
      <c r="G15" s="18" t="inlineStr"/>
      <c r="H15" s="18" t="inlineStr"/>
      <c r="I15" s="23">
        <f>IF(G15="","",G15-H15)</f>
        <v/>
      </c>
    </row>
    <row r="16" ht="24" customHeight="1">
      <c r="A16" s="9" t="inlineStr"/>
      <c r="B16" s="9" t="inlineStr"/>
      <c r="C16" s="14" t="inlineStr"/>
      <c r="D16" s="14" t="inlineStr"/>
      <c r="E16" s="14" t="inlineStr"/>
      <c r="F16" s="14" t="inlineStr"/>
      <c r="G16" s="18" t="inlineStr"/>
      <c r="H16" s="18" t="inlineStr"/>
      <c r="I16" s="23">
        <f>IF(G16="","",G16-H16)</f>
        <v/>
      </c>
    </row>
    <row r="17" ht="24" customHeight="1">
      <c r="A17" s="9" t="inlineStr"/>
      <c r="B17" s="9" t="inlineStr"/>
      <c r="C17" s="14" t="inlineStr"/>
      <c r="D17" s="14" t="inlineStr"/>
      <c r="E17" s="14" t="inlineStr"/>
      <c r="F17" s="14" t="inlineStr"/>
      <c r="G17" s="18" t="inlineStr"/>
      <c r="H17" s="18" t="inlineStr"/>
      <c r="I17" s="23">
        <f>IF(G17="","",G17-H17)</f>
        <v/>
      </c>
    </row>
    <row r="18" ht="24" customHeight="1">
      <c r="A18" s="9" t="inlineStr"/>
      <c r="B18" s="9" t="inlineStr"/>
      <c r="C18" s="14" t="inlineStr"/>
      <c r="D18" s="14" t="inlineStr"/>
      <c r="E18" s="14" t="inlineStr"/>
      <c r="F18" s="14" t="inlineStr"/>
      <c r="G18" s="18" t="inlineStr"/>
      <c r="H18" s="18" t="inlineStr"/>
      <c r="I18" s="23">
        <f>IF(G18="","",G18-H18)</f>
        <v/>
      </c>
    </row>
    <row r="19" ht="24" customHeight="1">
      <c r="A19" s="9" t="inlineStr"/>
      <c r="B19" s="9" t="inlineStr"/>
      <c r="C19" s="14" t="inlineStr"/>
      <c r="D19" s="14" t="inlineStr"/>
      <c r="E19" s="14" t="inlineStr"/>
      <c r="F19" s="14" t="inlineStr"/>
      <c r="G19" s="18" t="inlineStr"/>
      <c r="H19" s="18" t="inlineStr"/>
      <c r="I19" s="23">
        <f>IF(G19="","",G19-H19)</f>
        <v/>
      </c>
    </row>
    <row r="20" ht="24" customHeight="1">
      <c r="A20" s="9" t="inlineStr"/>
      <c r="B20" s="9" t="inlineStr"/>
      <c r="C20" s="14" t="inlineStr"/>
      <c r="D20" s="14" t="inlineStr"/>
      <c r="E20" s="14" t="inlineStr"/>
      <c r="F20" s="14" t="inlineStr"/>
      <c r="G20" s="18" t="inlineStr"/>
      <c r="H20" s="18" t="inlineStr"/>
      <c r="I20" s="23">
        <f>IF(G20="","",G20-H20)</f>
        <v/>
      </c>
    </row>
    <row r="21" ht="24" customHeight="1">
      <c r="A21" s="9" t="inlineStr"/>
      <c r="B21" s="9" t="inlineStr"/>
      <c r="C21" s="14" t="inlineStr"/>
      <c r="D21" s="14" t="inlineStr"/>
      <c r="E21" s="14" t="inlineStr"/>
      <c r="F21" s="14" t="inlineStr"/>
      <c r="G21" s="18" t="inlineStr"/>
      <c r="H21" s="18" t="inlineStr"/>
      <c r="I21" s="23">
        <f>IF(G21="","",G21-H21)</f>
        <v/>
      </c>
    </row>
    <row r="22" ht="24" customHeight="1">
      <c r="A22" s="9" t="inlineStr"/>
      <c r="B22" s="9" t="inlineStr"/>
      <c r="C22" s="14" t="inlineStr"/>
      <c r="D22" s="14" t="inlineStr"/>
      <c r="E22" s="14" t="inlineStr"/>
      <c r="F22" s="14" t="inlineStr"/>
      <c r="G22" s="18" t="inlineStr"/>
      <c r="H22" s="18" t="inlineStr"/>
      <c r="I22" s="23">
        <f>IF(G22="","",G22-H22)</f>
        <v/>
      </c>
    </row>
    <row r="23" ht="24" customHeight="1">
      <c r="A23" s="9" t="inlineStr"/>
      <c r="B23" s="9" t="inlineStr"/>
      <c r="C23" s="14" t="inlineStr"/>
      <c r="D23" s="14" t="inlineStr"/>
      <c r="E23" s="14" t="inlineStr"/>
      <c r="F23" s="14" t="inlineStr"/>
      <c r="G23" s="18" t="inlineStr"/>
      <c r="H23" s="18" t="inlineStr"/>
      <c r="I23" s="23">
        <f>IF(G23="","",G23-H23)</f>
        <v/>
      </c>
    </row>
    <row r="24" ht="24" customHeight="1">
      <c r="A24" s="9" t="inlineStr"/>
      <c r="B24" s="9" t="inlineStr"/>
      <c r="C24" s="14" t="inlineStr"/>
      <c r="D24" s="14" t="inlineStr"/>
      <c r="E24" s="14" t="inlineStr"/>
      <c r="F24" s="14" t="inlineStr"/>
      <c r="G24" s="18" t="inlineStr"/>
      <c r="H24" s="18" t="inlineStr"/>
      <c r="I24" s="23">
        <f>IF(G24="","",G24-H24)</f>
        <v/>
      </c>
    </row>
    <row r="25" ht="24" customHeight="1">
      <c r="A25" s="9" t="inlineStr"/>
      <c r="B25" s="9" t="inlineStr"/>
      <c r="C25" s="14" t="inlineStr"/>
      <c r="D25" s="14" t="inlineStr"/>
      <c r="E25" s="14" t="inlineStr"/>
      <c r="F25" s="14" t="inlineStr"/>
      <c r="G25" s="18" t="inlineStr"/>
      <c r="H25" s="18" t="inlineStr"/>
      <c r="I25" s="23">
        <f>IF(G25="","",G25-H25)</f>
        <v/>
      </c>
    </row>
    <row r="26" ht="24" customHeight="1">
      <c r="A26" s="9" t="inlineStr"/>
      <c r="B26" s="9" t="inlineStr"/>
      <c r="C26" s="14" t="inlineStr"/>
      <c r="D26" s="14" t="inlineStr"/>
      <c r="E26" s="14" t="inlineStr"/>
      <c r="F26" s="14" t="inlineStr"/>
      <c r="G26" s="18" t="inlineStr"/>
      <c r="H26" s="18" t="inlineStr"/>
      <c r="I26" s="23">
        <f>IF(G26="","",G26-H26)</f>
        <v/>
      </c>
    </row>
    <row r="27" ht="24" customHeight="1">
      <c r="A27" s="9" t="inlineStr"/>
      <c r="B27" s="9" t="inlineStr"/>
      <c r="C27" s="14" t="inlineStr"/>
      <c r="D27" s="14" t="inlineStr"/>
      <c r="E27" s="14" t="inlineStr"/>
      <c r="F27" s="14" t="inlineStr"/>
      <c r="G27" s="18" t="inlineStr"/>
      <c r="H27" s="18" t="inlineStr"/>
      <c r="I27" s="23">
        <f>IF(G27="","",G27-H27)</f>
        <v/>
      </c>
    </row>
    <row r="28" ht="24" customHeight="1">
      <c r="A28" s="9" t="inlineStr"/>
      <c r="B28" s="9" t="inlineStr"/>
      <c r="C28" s="14" t="inlineStr"/>
      <c r="D28" s="14" t="inlineStr"/>
      <c r="E28" s="14" t="inlineStr"/>
      <c r="F28" s="14" t="inlineStr"/>
      <c r="G28" s="18" t="inlineStr"/>
      <c r="H28" s="18" t="inlineStr"/>
      <c r="I28" s="23">
        <f>IF(G28="","",G28-H28)</f>
        <v/>
      </c>
    </row>
    <row r="29" ht="24" customHeight="1">
      <c r="A29" s="9" t="inlineStr"/>
      <c r="B29" s="9" t="inlineStr"/>
      <c r="C29" s="14" t="inlineStr"/>
      <c r="D29" s="14" t="inlineStr"/>
      <c r="E29" s="14" t="inlineStr"/>
      <c r="F29" s="14" t="inlineStr"/>
      <c r="G29" s="18" t="inlineStr"/>
      <c r="H29" s="18" t="inlineStr"/>
      <c r="I29" s="23">
        <f>IF(G29="","",G29-H29)</f>
        <v/>
      </c>
    </row>
    <row r="30" ht="24" customHeight="1">
      <c r="A30" s="9" t="inlineStr"/>
      <c r="B30" s="9" t="inlineStr"/>
      <c r="C30" s="14" t="inlineStr"/>
      <c r="D30" s="14" t="inlineStr"/>
      <c r="E30" s="14" t="inlineStr"/>
      <c r="F30" s="14" t="inlineStr"/>
      <c r="G30" s="18" t="inlineStr"/>
      <c r="H30" s="18" t="inlineStr"/>
      <c r="I30" s="23">
        <f>IF(G30="","",G30-H30)</f>
        <v/>
      </c>
    </row>
    <row r="31" ht="24" customHeight="1">
      <c r="A31" s="9" t="inlineStr"/>
      <c r="B31" s="9" t="inlineStr"/>
      <c r="C31" s="14" t="inlineStr"/>
      <c r="D31" s="14" t="inlineStr"/>
      <c r="E31" s="14" t="inlineStr"/>
      <c r="F31" s="14" t="inlineStr"/>
      <c r="G31" s="18" t="inlineStr"/>
      <c r="H31" s="18" t="inlineStr"/>
      <c r="I31" s="23">
        <f>IF(G31="","",G31-H31)</f>
        <v/>
      </c>
    </row>
    <row r="32" ht="24" customHeight="1">
      <c r="A32" s="9" t="inlineStr"/>
      <c r="B32" s="9" t="inlineStr"/>
      <c r="C32" s="14" t="inlineStr"/>
      <c r="D32" s="14" t="inlineStr"/>
      <c r="E32" s="14" t="inlineStr"/>
      <c r="F32" s="14" t="inlineStr"/>
      <c r="G32" s="18" t="inlineStr"/>
      <c r="H32" s="18" t="inlineStr"/>
      <c r="I32" s="23">
        <f>IF(G32="","",G32-H32)</f>
        <v/>
      </c>
    </row>
    <row r="33" ht="24" customHeight="1">
      <c r="A33" s="9" t="inlineStr"/>
      <c r="B33" s="9" t="inlineStr"/>
      <c r="C33" s="14" t="inlineStr"/>
      <c r="D33" s="14" t="inlineStr"/>
      <c r="E33" s="14" t="inlineStr"/>
      <c r="F33" s="14" t="inlineStr"/>
      <c r="G33" s="18" t="inlineStr"/>
      <c r="H33" s="18" t="inlineStr"/>
      <c r="I33" s="23">
        <f>IF(G33="","",G33-H33)</f>
        <v/>
      </c>
    </row>
    <row r="34" ht="24" customHeight="1">
      <c r="A34" s="9" t="inlineStr"/>
      <c r="B34" s="9" t="inlineStr"/>
      <c r="C34" s="14" t="inlineStr"/>
      <c r="D34" s="14" t="inlineStr"/>
      <c r="E34" s="14" t="inlineStr"/>
      <c r="F34" s="14" t="inlineStr"/>
      <c r="G34" s="18" t="inlineStr"/>
      <c r="H34" s="18" t="inlineStr"/>
      <c r="I34" s="23">
        <f>IF(G34="","",G34-H34)</f>
        <v/>
      </c>
    </row>
    <row r="35" ht="24" customHeight="1">
      <c r="A35" s="9" t="inlineStr"/>
      <c r="B35" s="9" t="inlineStr"/>
      <c r="C35" s="14" t="inlineStr"/>
      <c r="D35" s="14" t="inlineStr"/>
      <c r="E35" s="14" t="inlineStr"/>
      <c r="F35" s="14" t="inlineStr"/>
      <c r="G35" s="18" t="inlineStr"/>
      <c r="H35" s="18" t="inlineStr"/>
      <c r="I35" s="23">
        <f>IF(G35="","",G35-H35)</f>
        <v/>
      </c>
    </row>
    <row r="36" ht="24" customHeight="1">
      <c r="A36" s="9" t="inlineStr"/>
      <c r="B36" s="9" t="inlineStr"/>
      <c r="C36" s="14" t="inlineStr"/>
      <c r="D36" s="14" t="inlineStr"/>
      <c r="E36" s="14" t="inlineStr"/>
      <c r="F36" s="14" t="inlineStr"/>
      <c r="G36" s="18" t="inlineStr"/>
      <c r="H36" s="18" t="inlineStr"/>
      <c r="I36" s="23">
        <f>IF(G36="","",G36-H36)</f>
        <v/>
      </c>
    </row>
    <row r="37" ht="24" customHeight="1">
      <c r="A37" s="9" t="inlineStr"/>
      <c r="B37" s="9" t="inlineStr"/>
      <c r="C37" s="14" t="inlineStr"/>
      <c r="D37" s="14" t="inlineStr"/>
      <c r="E37" s="14" t="inlineStr"/>
      <c r="F37" s="14" t="inlineStr"/>
      <c r="G37" s="18" t="inlineStr"/>
      <c r="H37" s="18" t="inlineStr"/>
      <c r="I37" s="23">
        <f>IF(G37="","",G37-H37)</f>
        <v/>
      </c>
    </row>
    <row r="38" ht="24" customHeight="1">
      <c r="A38" s="9" t="inlineStr"/>
      <c r="B38" s="9" t="inlineStr"/>
      <c r="C38" s="14" t="inlineStr"/>
      <c r="D38" s="14" t="inlineStr"/>
      <c r="E38" s="14" t="inlineStr"/>
      <c r="F38" s="14" t="inlineStr"/>
      <c r="G38" s="18" t="inlineStr"/>
      <c r="H38" s="18" t="inlineStr"/>
      <c r="I38" s="23">
        <f>IF(G38="","",G38-H38)</f>
        <v/>
      </c>
    </row>
    <row r="39" ht="24" customHeight="1">
      <c r="A39" s="9" t="inlineStr"/>
      <c r="B39" s="9" t="inlineStr"/>
      <c r="C39" s="14" t="inlineStr"/>
      <c r="D39" s="14" t="inlineStr"/>
      <c r="E39" s="14" t="inlineStr"/>
      <c r="F39" s="14" t="inlineStr"/>
      <c r="G39" s="18" t="inlineStr"/>
      <c r="H39" s="18" t="inlineStr"/>
      <c r="I39" s="23">
        <f>IF(G39="","",G39-H39)</f>
        <v/>
      </c>
    </row>
    <row r="40" ht="24" customHeight="1">
      <c r="A40" s="9" t="inlineStr"/>
      <c r="B40" s="9" t="inlineStr"/>
      <c r="C40" s="14" t="inlineStr"/>
      <c r="D40" s="14" t="inlineStr"/>
      <c r="E40" s="14" t="inlineStr"/>
      <c r="F40" s="14" t="inlineStr"/>
      <c r="G40" s="18" t="inlineStr"/>
      <c r="H40" s="18" t="inlineStr"/>
      <c r="I40" s="23">
        <f>IF(G40="","",G40-H40)</f>
        <v/>
      </c>
    </row>
  </sheetData>
  <mergeCells count="4">
    <mergeCell ref="A1:I1"/>
    <mergeCell ref="A4:B4"/>
    <mergeCell ref="A2:I2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2026-08-02T19:57:55Z</dcterms:created>
  <dcterms:modified xsi:type="dcterms:W3CDTF">2026-08-02T19:57:55Z</dcterms:modified>
</cp:coreProperties>
</file>